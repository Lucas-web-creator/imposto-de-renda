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Resumo" sheetId="1" state="visible" r:id="rId1"/>
    <sheet xmlns:r="http://schemas.openxmlformats.org/officeDocument/2006/relationships" name="Rendimentos" sheetId="2" state="visible" r:id="rId2"/>
    <sheet xmlns:r="http://schemas.openxmlformats.org/officeDocument/2006/relationships" name="Despesas Dedutíveis" sheetId="3" state="visible" r:id="rId3"/>
    <sheet xmlns:r="http://schemas.openxmlformats.org/officeDocument/2006/relationships" name="Bens e Direitos" sheetId="4" state="visible" r:id="rId4"/>
    <sheet xmlns:r="http://schemas.openxmlformats.org/officeDocument/2006/relationships" name="Investimentos" sheetId="5" state="visible" r:id="rId5"/>
    <sheet xmlns:r="http://schemas.openxmlformats.org/officeDocument/2006/relationships" name="Criptoativos" sheetId="6" state="visible" r:id="rId6"/>
    <sheet xmlns:r="http://schemas.openxmlformats.org/officeDocument/2006/relationships" name="Dívidas e Ôn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475569"/>
      <sz val="9"/>
    </font>
    <font>
      <name val="Calibri"/>
      <b val="1"/>
      <color rgb="002563EB"/>
      <sz val="14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7" fillId="4" borderId="1" pivotButton="0" quotePrefix="0" xfId="0"/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8" fillId="4" borderId="1" pivotButton="0" quotePrefix="0" xfId="0"/>
    <xf numFmtId="164" fontId="8" fillId="4" borderId="1" applyAlignment="1" pivotButton="0" quotePrefix="0" xfId="0">
      <alignment horizontal="right" vertical="center"/>
    </xf>
    <xf numFmtId="0" fontId="8" fillId="0" borderId="1" pivotButton="0" quotePrefix="0" xfId="0"/>
    <xf numFmtId="164" fontId="8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4" customWidth="1" min="2" max="2"/>
    <col width="86" customWidth="1" min="3" max="3"/>
    <col width="8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SISTEMA INTEGRADO DE DECLAÇÃO DE IMPOSTO DE RENDA</t>
        </is>
      </c>
    </row>
    <row r="2">
      <c r="A2" s="2" t="inlineStr">
        <is>
          <t>Consolidação anual automatizada de rendimentos, despesas, bens e proventos.</t>
        </is>
      </c>
    </row>
    <row r="3"/>
    <row r="4">
      <c r="A4" s="3" t="inlineStr">
        <is>
          <t>TOTAL RENDIMENTOS TRIBUTÁVEIS</t>
        </is>
      </c>
      <c r="B4" s="4" t="n"/>
      <c r="C4" s="3" t="inlineStr">
        <is>
          <t>TOTAL DESPESAS DEDUTÍVEIS</t>
        </is>
      </c>
      <c r="D4" s="4" t="n"/>
      <c r="E4" s="3" t="inlineStr">
        <is>
          <t>PATRIMÔNIO LÍQUIDO (31/12)</t>
        </is>
      </c>
      <c r="F4" s="4" t="n"/>
      <c r="G4" s="3" t="inlineStr">
        <is>
          <t>PROVENTOS INVESTIMENTOS</t>
        </is>
      </c>
      <c r="H4" s="4" t="n"/>
    </row>
    <row r="5">
      <c r="A5" s="5">
        <f>SUM('Rendimentos'!E8:E100)</f>
        <v/>
      </c>
      <c r="B5" s="4" t="n"/>
      <c r="C5" s="5">
        <f>SUM('Despesas Dedutíveis'!F8:F100)</f>
        <v/>
      </c>
      <c r="D5" s="4" t="n"/>
      <c r="E5" s="5">
        <f>SUM('Bens e Direitos'!E8:E100)</f>
        <v/>
      </c>
      <c r="F5" s="4" t="n"/>
      <c r="G5" s="5">
        <f>SUM('Investimentos'!G8:G100)</f>
        <v/>
      </c>
      <c r="H5" s="4" t="n"/>
    </row>
    <row r="6"/>
    <row r="7">
      <c r="A7" s="6" t="inlineStr">
        <is>
          <t>CONSOLIDAÇÃO DE DADOS PARA PREENCHIMENTO DO PGFN / RECEITA</t>
        </is>
      </c>
    </row>
    <row r="8">
      <c r="A8" s="7" t="inlineStr">
        <is>
          <t>Métrica / Grupo Fiscal</t>
        </is>
      </c>
      <c r="B8" s="7" t="inlineStr">
        <is>
          <t>Aba de Origem</t>
        </is>
      </c>
      <c r="C8" s="7" t="inlineStr">
        <is>
          <t>Fórmula de Apuração</t>
        </is>
      </c>
      <c r="D8" s="7" t="inlineStr">
        <is>
          <t>Valor Consolidado (R$)</t>
        </is>
      </c>
    </row>
    <row r="9">
      <c r="A9" s="8" t="inlineStr">
        <is>
          <t>Total de Rendimentos Tributáveis</t>
        </is>
      </c>
      <c r="B9" s="9" t="inlineStr">
        <is>
          <t>Rendimentos</t>
        </is>
      </c>
      <c r="C9" s="10">
        <f>SUM('Rendimentos'!E8:E100)</f>
        <v/>
      </c>
      <c r="D9" s="11">
        <f>SUM('Rendimentos'!E8:E100)</f>
        <v/>
      </c>
    </row>
    <row r="10">
      <c r="A10" s="12" t="inlineStr">
        <is>
          <t>Total de Imposto Retido na Fonte (IRRF)</t>
        </is>
      </c>
      <c r="B10" s="13" t="inlineStr">
        <is>
          <t>Rendimentos</t>
        </is>
      </c>
      <c r="C10" s="14">
        <f>SUM('Rendimentos'!F8:F100)</f>
        <v/>
      </c>
      <c r="D10" s="15">
        <f>SUM('Rendimentos'!F8:F100)</f>
        <v/>
      </c>
    </row>
    <row r="11">
      <c r="A11" s="8" t="inlineStr">
        <is>
          <t>Total de Contribuição Previdenciária (INSS)</t>
        </is>
      </c>
      <c r="B11" s="9" t="inlineStr">
        <is>
          <t>Rendimentos</t>
        </is>
      </c>
      <c r="C11" s="10">
        <f>SUM('Rendimentos'!G8:G100)</f>
        <v/>
      </c>
      <c r="D11" s="11">
        <f>SUM('Rendimentos'!G8:G100)</f>
        <v/>
      </c>
    </row>
    <row r="12">
      <c r="A12" s="16" t="inlineStr">
        <is>
          <t>Rendimentos Isentos e Não Tributáveis</t>
        </is>
      </c>
      <c r="B12" s="13" t="inlineStr">
        <is>
          <t>Rendimentos</t>
        </is>
      </c>
      <c r="C12" s="14">
        <f>SUMIFS('Rendimentos'!E8:E100, 'Rendimentos'!D8:D100, "Rendimento Isento")</f>
        <v/>
      </c>
      <c r="D12" s="17">
        <f>SUMIFS('Rendimentos'!E8:E100, 'Rendimentos'!D8:D100, "Rendimento Isento")</f>
        <v/>
      </c>
    </row>
    <row r="13">
      <c r="A13" s="8" t="inlineStr">
        <is>
          <t>Total de Despesas Dedutíveis - Saúde</t>
        </is>
      </c>
      <c r="B13" s="9" t="inlineStr">
        <is>
          <t>Despesas Dedutíveis</t>
        </is>
      </c>
      <c r="C13" s="10">
        <f>SUMIFS('Despesas Dedutíveis'!F8:F100, 'Despesas Dedutíveis'!D8:D100, "Saúde")</f>
        <v/>
      </c>
      <c r="D13" s="11">
        <f>SUMIFS('Despesas Dedutíveis'!F8:F100, 'Despesas Dedutíveis'!D8:D100, "Saúde")</f>
        <v/>
      </c>
    </row>
    <row r="14">
      <c r="A14" s="12" t="inlineStr">
        <is>
          <t>Total de Despesas Dedutíveis - Educação</t>
        </is>
      </c>
      <c r="B14" s="13" t="inlineStr">
        <is>
          <t>Despesas Dedutíveis</t>
        </is>
      </c>
      <c r="C14" s="14">
        <f>SUMIFS('Despesas Dedutíveis'!F8:F100, 'Despesas Dedutíveis'!D8:D100, "Educação")</f>
        <v/>
      </c>
      <c r="D14" s="15">
        <f>SUMIFS('Despesas Dedutíveis'!F8:F100, 'Despesas Dedutíveis'!D8:D100, "Educação")</f>
        <v/>
      </c>
    </row>
    <row r="15">
      <c r="A15" s="8" t="inlineStr">
        <is>
          <t>Total Geral de Despesas Dedutíveis</t>
        </is>
      </c>
      <c r="B15" s="9" t="inlineStr">
        <is>
          <t>Despesas Dedutíveis</t>
        </is>
      </c>
      <c r="C15" s="10">
        <f>SUM('Despesas Dedutíveis'!F8:F100)</f>
        <v/>
      </c>
      <c r="D15" s="11">
        <f>SUM('Despesas Dedutíveis'!F8:F100)</f>
        <v/>
      </c>
    </row>
    <row r="16">
      <c r="A16" s="12" t="inlineStr">
        <is>
          <t>Evolução Patrimonial Total (Bens e Direitos em 31/12)</t>
        </is>
      </c>
      <c r="B16" s="13" t="inlineStr">
        <is>
          <t>Bens e Direitos</t>
        </is>
      </c>
      <c r="C16" s="14">
        <f>SUM('Bens e Direitos'!E8:E100)</f>
        <v/>
      </c>
      <c r="D16" s="15">
        <f>SUM('Bens e Direitos'!E8:E100)</f>
        <v/>
      </c>
    </row>
    <row r="17">
      <c r="A17" s="18" t="inlineStr">
        <is>
          <t>Variação Patrimonial Anual (Aportes e Reformas)</t>
        </is>
      </c>
      <c r="B17" s="9" t="inlineStr">
        <is>
          <t>Bens e Direitos</t>
        </is>
      </c>
      <c r="C17" s="10">
        <f>SUM('Bens e Direitos'!D8:D100)</f>
        <v/>
      </c>
      <c r="D17" s="19">
        <f>SUM('Bens e Direitos'!D8:D100)</f>
        <v/>
      </c>
    </row>
    <row r="18">
      <c r="A18" s="12" t="inlineStr">
        <is>
          <t>Total Investido em Renda Fixa / Variável</t>
        </is>
      </c>
      <c r="B18" s="13" t="inlineStr">
        <is>
          <t>Investimentos</t>
        </is>
      </c>
      <c r="C18" s="14">
        <f>SUM('Investimentos'!F8:F100)</f>
        <v/>
      </c>
      <c r="D18" s="15">
        <f>SUM('Investimentos'!F8:F100)</f>
        <v/>
      </c>
    </row>
    <row r="19">
      <c r="A19" s="8" t="inlineStr">
        <is>
          <t>Total de Proventos/Rendimentos Recebidos</t>
        </is>
      </c>
      <c r="B19" s="9" t="inlineStr">
        <is>
          <t>Investimentos</t>
        </is>
      </c>
      <c r="C19" s="10">
        <f>SUM('Investimentos'!G8:G100)</f>
        <v/>
      </c>
      <c r="D19" s="11">
        <f>SUM('Investimentos'!G8:G100)</f>
        <v/>
      </c>
    </row>
    <row r="20">
      <c r="A20" s="12" t="inlineStr">
        <is>
          <t>Total de Lucro/Prejuízo em Criptoativos</t>
        </is>
      </c>
      <c r="B20" s="13" t="inlineStr">
        <is>
          <t>Criptoativos</t>
        </is>
      </c>
      <c r="C20" s="14">
        <f>SUM('Criptoativos'!G8:G100)</f>
        <v/>
      </c>
      <c r="D20" s="15">
        <f>SUM('Criptoativos'!G8:G100)</f>
        <v/>
      </c>
    </row>
    <row r="21">
      <c r="A21" s="8" t="inlineStr">
        <is>
          <t>Total de Dívidas e Ônus Reais em 31/12</t>
        </is>
      </c>
      <c r="B21" s="9" t="inlineStr">
        <is>
          <t>Dívidas e Ônus</t>
        </is>
      </c>
      <c r="C21" s="10">
        <f>SUM('Dívidas e Ônus'!E8:E100)</f>
        <v/>
      </c>
      <c r="D21" s="11">
        <f>SUM('Dívidas e Ônus'!E8:E100)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3" customWidth="1" min="3" max="3"/>
    <col width="25" customWidth="1" min="4" max="4"/>
    <col width="26" customWidth="1" min="5" max="5"/>
    <col width="21" customWidth="1" min="6" max="6"/>
    <col width="17" customWidth="1" min="7" max="7"/>
    <col width="33" customWidth="1" min="8" max="8"/>
  </cols>
  <sheetData>
    <row r="1">
      <c r="A1" s="1" t="inlineStr">
        <is>
          <t>REGISTRO DETALHADO DE RENDIMENTOS TRIBUTÁVEIS E ISENTOS</t>
        </is>
      </c>
    </row>
    <row r="2">
      <c r="A2" s="2" t="inlineStr">
        <is>
          <t>Mapeie salários, pró-labore, serviços prestados e lucros distribuídos.</t>
        </is>
      </c>
    </row>
    <row r="3"/>
    <row r="4"/>
    <row r="5"/>
    <row r="6"/>
    <row r="7">
      <c r="A7" s="7" t="inlineStr">
        <is>
          <t>Data / Mês</t>
        </is>
      </c>
      <c r="B7" s="7" t="inlineStr">
        <is>
          <t>Fonte Pagadora</t>
        </is>
      </c>
      <c r="C7" s="7" t="inlineStr">
        <is>
          <t>CPF / CNPJ</t>
        </is>
      </c>
      <c r="D7" s="7" t="inlineStr">
        <is>
          <t>Categoria</t>
        </is>
      </c>
      <c r="E7" s="7" t="inlineStr">
        <is>
          <t>Rendimento Bruto (R$)</t>
        </is>
      </c>
      <c r="F7" s="7" t="inlineStr">
        <is>
          <t>IRRF Retido (R$)</t>
        </is>
      </c>
      <c r="G7" s="7" t="inlineStr">
        <is>
          <t>INSS (R$)</t>
        </is>
      </c>
      <c r="H7" s="7" t="inlineStr">
        <is>
          <t>Observações / Recibo</t>
        </is>
      </c>
    </row>
    <row r="8">
      <c r="A8" s="13" t="inlineStr">
        <is>
          <t>Jan/2025</t>
        </is>
      </c>
      <c r="B8" s="14" t="inlineStr">
        <is>
          <t>Empresa Exemplo S.A.</t>
        </is>
      </c>
      <c r="C8" s="13" t="inlineStr">
        <is>
          <t>00.000.000/0001-00</t>
        </is>
      </c>
      <c r="D8" s="14" t="inlineStr">
        <is>
          <t>Trabalho Assalariado</t>
        </is>
      </c>
      <c r="E8" s="17" t="n">
        <v>5000</v>
      </c>
      <c r="F8" s="17" t="n">
        <v>350</v>
      </c>
      <c r="G8" s="17" t="n">
        <v>550</v>
      </c>
      <c r="H8" s="14" t="inlineStr">
        <is>
          <t>Informe de Rendimentos Anual</t>
        </is>
      </c>
    </row>
    <row r="9">
      <c r="A9" s="9" t="inlineStr">
        <is>
          <t>Fev/2025</t>
        </is>
      </c>
      <c r="B9" s="10" t="inlineStr">
        <is>
          <t>Empresa Exemplo S.A.</t>
        </is>
      </c>
      <c r="C9" s="9" t="inlineStr">
        <is>
          <t>00.000.000/0001-00</t>
        </is>
      </c>
      <c r="D9" s="10" t="inlineStr">
        <is>
          <t>Trabalho Assalariado</t>
        </is>
      </c>
      <c r="E9" s="19" t="n">
        <v>5000</v>
      </c>
      <c r="F9" s="19" t="n">
        <v>350</v>
      </c>
      <c r="G9" s="19" t="n">
        <v>550</v>
      </c>
      <c r="H9" s="10" t="inlineStr">
        <is>
          <t>Informe de Rendimentos Anual</t>
        </is>
      </c>
    </row>
    <row r="10">
      <c r="A10" s="13" t="inlineStr">
        <is>
          <t>Mar/2025</t>
        </is>
      </c>
      <c r="B10" s="14" t="inlineStr">
        <is>
          <t>Cliente Pessoa Física</t>
        </is>
      </c>
      <c r="C10" s="13" t="inlineStr">
        <is>
          <t>111.222.333-44</t>
        </is>
      </c>
      <c r="D10" s="14" t="inlineStr">
        <is>
          <t>Prestação de Serviço</t>
        </is>
      </c>
      <c r="E10" s="17" t="n">
        <v>1200</v>
      </c>
      <c r="F10" s="17" t="n">
        <v>0</v>
      </c>
      <c r="G10" s="17" t="n">
        <v>0</v>
      </c>
      <c r="H10" s="14" t="inlineStr">
        <is>
          <t>Recibo Emitido - Carnê-Leão</t>
        </is>
      </c>
    </row>
    <row r="11">
      <c r="A11" s="9" t="inlineStr">
        <is>
          <t>Dez/2025</t>
        </is>
      </c>
      <c r="B11" s="10" t="inlineStr">
        <is>
          <t>Banco Exemplo S.A.</t>
        </is>
      </c>
      <c r="C11" s="9" t="inlineStr">
        <is>
          <t>99.888.777/0001-11</t>
        </is>
      </c>
      <c r="D11" s="10" t="inlineStr">
        <is>
          <t>Rendimento Isento</t>
        </is>
      </c>
      <c r="E11" s="19" t="n">
        <v>450</v>
      </c>
      <c r="F11" s="19" t="n">
        <v>0</v>
      </c>
      <c r="G11" s="19" t="n">
        <v>0</v>
      </c>
      <c r="H11" s="10" t="inlineStr">
        <is>
          <t>Rendimento LCI/LCA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0" t="inlineStr">
        <is>
          <t>TOTAL CONSOLIDADO</t>
        </is>
      </c>
      <c r="E100" s="11">
        <f>SUM(E8:E99)</f>
        <v/>
      </c>
      <c r="F100" s="11">
        <f>SUM(F8:F99)</f>
        <v/>
      </c>
      <c r="G100" s="11">
        <f>SUM(G8:G99)</f>
        <v/>
      </c>
    </row>
  </sheetData>
  <dataValidations count="1">
    <dataValidation sqref="D8:D99" showDropDown="0" showInputMessage="0" showErrorMessage="0" allowBlank="1" type="list">
      <formula1>"Trabalho Assalariado,Pró-Labore,Prestação de Serviço,Rendimento Isento,Aluguel,Distribuição de Lucros"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3" customWidth="1" min="3" max="3"/>
    <col width="16" customWidth="1" min="4" max="4"/>
    <col width="34" customWidth="1" min="5" max="5"/>
    <col width="20" customWidth="1" min="6" max="6"/>
    <col width="23" customWidth="1" min="7" max="7"/>
    <col width="25" customWidth="1" min="8" max="8"/>
  </cols>
  <sheetData>
    <row r="1">
      <c r="A1" s="1" t="inlineStr">
        <is>
          <t>REGISTRO DE DESPESAS DEDUTÍVEIS (SAÚDE, EDUCAÇÃO, PGBL)</t>
        </is>
      </c>
    </row>
    <row r="2">
      <c r="A2" s="2" t="inlineStr">
        <is>
          <t>Gasto que abate a base de cálculo do IRPF no modelo completo.</t>
        </is>
      </c>
    </row>
    <row r="3"/>
    <row r="4"/>
    <row r="5"/>
    <row r="6"/>
    <row r="7">
      <c r="A7" s="7" t="inlineStr">
        <is>
          <t>Data</t>
        </is>
      </c>
      <c r="B7" s="7" t="inlineStr">
        <is>
          <t>Beneficiário / Prestador</t>
        </is>
      </c>
      <c r="C7" s="7" t="inlineStr">
        <is>
          <t>CPF / CNPJ</t>
        </is>
      </c>
      <c r="D7" s="7" t="inlineStr">
        <is>
          <t>Categoria</t>
        </is>
      </c>
      <c r="E7" s="7" t="inlineStr">
        <is>
          <t>Descrição do Serviço</t>
        </is>
      </c>
      <c r="F7" s="7" t="inlineStr">
        <is>
          <t>Valor Pago (R$)</t>
        </is>
      </c>
      <c r="G7" s="7" t="inlineStr">
        <is>
          <t>Comprovante Salvo?</t>
        </is>
      </c>
      <c r="H7" s="7" t="inlineStr">
        <is>
          <t>Titular / Dependente</t>
        </is>
      </c>
    </row>
    <row r="8">
      <c r="A8" s="13" t="inlineStr">
        <is>
          <t>15/03/2025</t>
        </is>
      </c>
      <c r="B8" s="14" t="inlineStr">
        <is>
          <t>Dr. Carlos Eduardo (Dentista)</t>
        </is>
      </c>
      <c r="C8" s="13" t="inlineStr">
        <is>
          <t>222.333.444-55</t>
        </is>
      </c>
      <c r="D8" s="14" t="inlineStr">
        <is>
          <t>Saúde</t>
        </is>
      </c>
      <c r="E8" s="14" t="inlineStr">
        <is>
          <t>Tratamento Odontológico</t>
        </is>
      </c>
      <c r="F8" s="17" t="n">
        <v>850</v>
      </c>
      <c r="G8" s="13" t="inlineStr">
        <is>
          <t>Sim</t>
        </is>
      </c>
      <c r="H8" s="13" t="inlineStr">
        <is>
          <t>Titular</t>
        </is>
      </c>
    </row>
    <row r="9">
      <c r="A9" s="9" t="inlineStr">
        <is>
          <t>05/05/2025</t>
        </is>
      </c>
      <c r="B9" s="10" t="inlineStr">
        <is>
          <t>Instituto de Ensino Alfa</t>
        </is>
      </c>
      <c r="C9" s="9" t="inlineStr">
        <is>
          <t>12.345.678/0001-90</t>
        </is>
      </c>
      <c r="D9" s="10" t="inlineStr">
        <is>
          <t>Educação</t>
        </is>
      </c>
      <c r="E9" s="10" t="inlineStr">
        <is>
          <t>Mensalidade Graduação/Técnico</t>
        </is>
      </c>
      <c r="F9" s="19" t="n">
        <v>650</v>
      </c>
      <c r="G9" s="9" t="inlineStr">
        <is>
          <t>Sim</t>
        </is>
      </c>
      <c r="H9" s="9" t="inlineStr">
        <is>
          <t>Titular</t>
        </is>
      </c>
    </row>
    <row r="10">
      <c r="A10" s="13" t="inlineStr">
        <is>
          <t>10/08/2025</t>
        </is>
      </c>
      <c r="B10" s="14" t="inlineStr">
        <is>
          <t>Clínica Médica Vida</t>
        </is>
      </c>
      <c r="C10" s="13" t="inlineStr">
        <is>
          <t>98.765.432/0001-10</t>
        </is>
      </c>
      <c r="D10" s="14" t="inlineStr">
        <is>
          <t>Saúde</t>
        </is>
      </c>
      <c r="E10" s="14" t="inlineStr">
        <is>
          <t>Consulta Especializada</t>
        </is>
      </c>
      <c r="F10" s="17" t="n">
        <v>300</v>
      </c>
      <c r="G10" s="13" t="inlineStr">
        <is>
          <t>Sim</t>
        </is>
      </c>
      <c r="H10" s="13" t="inlineStr">
        <is>
          <t>Dependente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0" t="inlineStr">
        <is>
          <t>TOTAL CONSOLIDADO</t>
        </is>
      </c>
      <c r="F100" s="11">
        <f>SUM(F8:F99)</f>
        <v/>
      </c>
    </row>
  </sheetData>
  <dataValidations count="2">
    <dataValidation sqref="D8:D99" showDropDown="0" showInputMessage="0" showErrorMessage="0" allowBlank="1" type="list">
      <formula1>"Saúde,Educação,Previdência PGBL,Pensão Alimentícia"</formula1>
    </dataValidation>
    <dataValidation sqref="G8:G99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85" customWidth="1" min="2" max="2"/>
    <col width="32" customWidth="1" min="3" max="3"/>
    <col width="36" customWidth="1" min="4" max="4"/>
    <col width="32" customWidth="1" min="5" max="5"/>
  </cols>
  <sheetData>
    <row r="1">
      <c r="A1" s="1" t="inlineStr">
        <is>
          <t>DECLARAÇÃO DE BENS E DIREITOS (PATRIMÔNIO)</t>
        </is>
      </c>
    </row>
    <row r="2">
      <c r="A2" s="2" t="inlineStr">
        <is>
          <t>Mantenha o histórico pelo custo de aquisição. Nunca atualize pelo valor de mercado.</t>
        </is>
      </c>
    </row>
    <row r="3"/>
    <row r="4"/>
    <row r="5"/>
    <row r="6"/>
    <row r="7">
      <c r="A7" s="7" t="inlineStr">
        <is>
          <t>Código IRPF</t>
        </is>
      </c>
      <c r="B7" s="7" t="inlineStr">
        <is>
          <t>Discriminação / Descrição Detalhada do Bem</t>
        </is>
      </c>
      <c r="C7" s="7" t="inlineStr">
        <is>
          <t>Situação em 31/12/2024 (R$)</t>
        </is>
      </c>
      <c r="D7" s="7" t="inlineStr">
        <is>
          <t>Aportes / Melhorias no Ano (R$)</t>
        </is>
      </c>
      <c r="E7" s="7" t="inlineStr">
        <is>
          <t>Situação em 31/12/2025 (R$)</t>
        </is>
      </c>
    </row>
    <row r="8">
      <c r="A8" s="13" t="inlineStr">
        <is>
          <t>01 - Imóveis</t>
        </is>
      </c>
      <c r="B8" s="14" t="inlineStr">
        <is>
          <t>Apartamento residencial na Rua X, Nº 100, Bairro Y. Adquirido via financiamento.</t>
        </is>
      </c>
      <c r="C8" s="17" t="n">
        <v>180000</v>
      </c>
      <c r="D8" s="17" t="n">
        <v>12000</v>
      </c>
      <c r="E8" s="17">
        <f>C8+D8</f>
        <v/>
      </c>
    </row>
    <row r="9">
      <c r="A9" s="9" t="inlineStr">
        <is>
          <t>02 - Veículos</t>
        </is>
      </c>
      <c r="B9" s="10" t="inlineStr">
        <is>
          <t>Veículo automotor Marca Model, Placa ABC-1234. Quitado.</t>
        </is>
      </c>
      <c r="C9" s="19" t="n">
        <v>45000</v>
      </c>
      <c r="D9" s="19" t="n">
        <v>0</v>
      </c>
      <c r="E9" s="19">
        <f>C9+D9</f>
        <v/>
      </c>
    </row>
    <row r="10">
      <c r="A10" s="13" t="inlineStr">
        <is>
          <t>06 - Depósitos</t>
        </is>
      </c>
      <c r="B10" s="14" t="inlineStr">
        <is>
          <t>Conta Corrente Banco Z, Agência 0001, Conta 12345-6.</t>
        </is>
      </c>
      <c r="C10" s="17" t="n">
        <v>3200.5</v>
      </c>
      <c r="D10" s="17" t="n">
        <v>1499.5</v>
      </c>
      <c r="E10" s="17">
        <f>C10+D10</f>
        <v/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0" t="inlineStr">
        <is>
          <t>TOTAL CONSOLIDADO</t>
        </is>
      </c>
      <c r="C100" s="11">
        <f>SUM(C8:C99)</f>
        <v/>
      </c>
      <c r="D100" s="11">
        <f>SUM(D8:D99)</f>
        <v/>
      </c>
      <c r="E100" s="11">
        <f>SUM(E8:E99)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21" customWidth="1" min="5" max="5"/>
    <col width="25" customWidth="1" min="6" max="6"/>
    <col width="40" customWidth="1" min="7" max="7"/>
  </cols>
  <sheetData>
    <row r="1">
      <c r="A1" s="1" t="inlineStr">
        <is>
          <t>CARTEIRA DE INVESTIMENTOS (RENDA FIXA, AÇÕES, FIIs)</t>
        </is>
      </c>
    </row>
    <row r="2">
      <c r="A2" s="2" t="inlineStr">
        <is>
          <t>Apuração de posição patrimonial em ativos financeiros e proventos recebidos.</t>
        </is>
      </c>
    </row>
    <row r="3"/>
    <row r="4"/>
    <row r="5"/>
    <row r="6"/>
    <row r="7">
      <c r="A7" s="7" t="inlineStr">
        <is>
          <t>Ativo / Ticker</t>
        </is>
      </c>
      <c r="B7" s="7" t="inlineStr">
        <is>
          <t>Instituição Custodiante</t>
        </is>
      </c>
      <c r="C7" s="7" t="inlineStr">
        <is>
          <t>Tipo de Ativo</t>
        </is>
      </c>
      <c r="D7" s="7" t="inlineStr">
        <is>
          <t>Quantidade</t>
        </is>
      </c>
      <c r="E7" s="7" t="inlineStr">
        <is>
          <t>Preço Médio (R$)</t>
        </is>
      </c>
      <c r="F7" s="7" t="inlineStr">
        <is>
          <t>Total Investido (R$)</t>
        </is>
      </c>
      <c r="G7" s="7" t="inlineStr">
        <is>
          <t>Proventos / Rendimentos no Ano (R$)</t>
        </is>
      </c>
    </row>
    <row r="8">
      <c r="A8" s="13" t="inlineStr">
        <is>
          <t>CDB Banco X</t>
        </is>
      </c>
      <c r="B8" s="14" t="inlineStr">
        <is>
          <t>Corretora A</t>
        </is>
      </c>
      <c r="C8" s="13" t="inlineStr">
        <is>
          <t>Renda Fixa</t>
        </is>
      </c>
      <c r="D8" s="13" t="n">
        <v>1</v>
      </c>
      <c r="E8" s="17" t="n">
        <v>5000</v>
      </c>
      <c r="F8" s="17">
        <f>D8*E8</f>
        <v/>
      </c>
      <c r="G8" s="17" t="n">
        <v>525</v>
      </c>
    </row>
    <row r="9">
      <c r="A9" s="9" t="inlineStr">
        <is>
          <t>BBAS3</t>
        </is>
      </c>
      <c r="B9" s="10" t="inlineStr">
        <is>
          <t>Corretora A</t>
        </is>
      </c>
      <c r="C9" s="9" t="inlineStr">
        <is>
          <t>Ações</t>
        </is>
      </c>
      <c r="D9" s="9" t="n">
        <v>100</v>
      </c>
      <c r="E9" s="19" t="n">
        <v>27.5</v>
      </c>
      <c r="F9" s="19">
        <f>D9*E9</f>
        <v/>
      </c>
      <c r="G9" s="19" t="n">
        <v>210</v>
      </c>
    </row>
    <row r="10">
      <c r="A10" s="13" t="inlineStr">
        <is>
          <t>KNCR11</t>
        </is>
      </c>
      <c r="B10" s="14" t="inlineStr">
        <is>
          <t>Corretora B</t>
        </is>
      </c>
      <c r="C10" s="13" t="inlineStr">
        <is>
          <t>FIIs</t>
        </is>
      </c>
      <c r="D10" s="13" t="n">
        <v>50</v>
      </c>
      <c r="E10" s="17" t="n">
        <v>101.2</v>
      </c>
      <c r="F10" s="17">
        <f>D10*E10</f>
        <v/>
      </c>
      <c r="G10" s="17" t="n">
        <v>580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0" t="inlineStr">
        <is>
          <t>TOTAL CONSOLIDADO</t>
        </is>
      </c>
      <c r="F100" s="11">
        <f>SUM(F8:F99)</f>
        <v/>
      </c>
      <c r="G100" s="11">
        <f>SUM(G8:G99)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34" customWidth="1" min="4" max="4"/>
    <col width="31" customWidth="1" min="5" max="5"/>
    <col width="23" customWidth="1" min="6" max="6"/>
    <col width="33" customWidth="1" min="7" max="7"/>
  </cols>
  <sheetData>
    <row r="1">
      <c r="A1" s="1" t="inlineStr">
        <is>
          <t>DECLARAÇÃO E OPERAÇÕES COM CRIPTOATIVOS</t>
        </is>
      </c>
    </row>
    <row r="2">
      <c r="A2" s="2" t="inlineStr">
        <is>
          <t>Registro obrigatório para saldos acima de R$ 5.000 por classe de criptoativo.</t>
        </is>
      </c>
    </row>
    <row r="3"/>
    <row r="4"/>
    <row r="5"/>
    <row r="6"/>
    <row r="7">
      <c r="A7" s="7" t="inlineStr">
        <is>
          <t>Criptomoeda / Token</t>
        </is>
      </c>
      <c r="B7" s="7" t="inlineStr">
        <is>
          <t>Exchange / Carteira Custodiante</t>
        </is>
      </c>
      <c r="C7" s="7" t="inlineStr">
        <is>
          <t>Quantidade Possuída</t>
        </is>
      </c>
      <c r="D7" s="7" t="inlineStr">
        <is>
          <t>Custo Médio de Aquisição (R$)</t>
        </is>
      </c>
      <c r="E7" s="7" t="inlineStr">
        <is>
          <t>Valor Total Investido (R$)</t>
        </is>
      </c>
      <c r="F7" s="7" t="inlineStr">
        <is>
          <t>Vendas no Ano (R$)</t>
        </is>
      </c>
      <c r="G7" s="7" t="inlineStr">
        <is>
          <t>Lucro / Prejuízo Isento (R$)</t>
        </is>
      </c>
    </row>
    <row r="8">
      <c r="A8" s="13" t="inlineStr">
        <is>
          <t>Bitcoin (BTC)</t>
        </is>
      </c>
      <c r="B8" s="14" t="inlineStr">
        <is>
          <t>Exchange Nacional X</t>
        </is>
      </c>
      <c r="C8" s="13" t="n">
        <v>0.025</v>
      </c>
      <c r="D8" s="17" t="n">
        <v>320000</v>
      </c>
      <c r="E8" s="17">
        <f>C8*D8</f>
        <v/>
      </c>
      <c r="F8" s="17" t="n">
        <v>0</v>
      </c>
      <c r="G8" s="17" t="n">
        <v>0</v>
      </c>
    </row>
    <row r="9">
      <c r="A9" s="9" t="inlineStr">
        <is>
          <t>Ethereum (ETH)</t>
        </is>
      </c>
      <c r="B9" s="10" t="inlineStr">
        <is>
          <t>Carteira Metamask</t>
        </is>
      </c>
      <c r="C9" s="9" t="n">
        <v>0.5</v>
      </c>
      <c r="D9" s="19" t="n">
        <v>18000</v>
      </c>
      <c r="E9" s="19">
        <f>C9*D9</f>
        <v/>
      </c>
      <c r="F9" s="19" t="n">
        <v>5000</v>
      </c>
      <c r="G9" s="19" t="n">
        <v>800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0" t="inlineStr">
        <is>
          <t>TOTAL CONSOLIDADO</t>
        </is>
      </c>
      <c r="E100" s="11">
        <f>SUM(E8:E99)</f>
        <v/>
      </c>
      <c r="F100" s="11">
        <f>SUM(F8:F99)</f>
        <v/>
      </c>
      <c r="G100" s="11">
        <f>SUM(G8:G99)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3" customWidth="1" min="3" max="3"/>
    <col width="34" customWidth="1" min="4" max="4"/>
    <col width="32" customWidth="1" min="5" max="5"/>
    <col width="32" customWidth="1" min="6" max="6"/>
  </cols>
  <sheetData>
    <row r="1">
      <c r="A1" s="1" t="inlineStr">
        <is>
          <t>DÍVIDAS E ÔNUS REAIS</t>
        </is>
      </c>
    </row>
    <row r="2">
      <c r="A2" s="2" t="inlineStr">
        <is>
          <t>Informe empréstimos e dívidas acima de R$ 5.000 existentes em 31/12.</t>
        </is>
      </c>
    </row>
    <row r="3"/>
    <row r="4"/>
    <row r="5"/>
    <row r="6"/>
    <row r="7">
      <c r="A7" s="7" t="inlineStr">
        <is>
          <t>Código IRPF</t>
        </is>
      </c>
      <c r="B7" s="7" t="inlineStr">
        <is>
          <t>Credor / Instituição</t>
        </is>
      </c>
      <c r="C7" s="7" t="inlineStr">
        <is>
          <t>CPF / CNPJ Credor</t>
        </is>
      </c>
      <c r="D7" s="7" t="inlineStr">
        <is>
          <t>Discriminação da Dívida</t>
        </is>
      </c>
      <c r="E7" s="7" t="inlineStr">
        <is>
          <t>Situação em 31/12/2024 (R$)</t>
        </is>
      </c>
      <c r="F7" s="7" t="inlineStr">
        <is>
          <t>Situação em 31/12/2025 (R$)</t>
        </is>
      </c>
    </row>
    <row r="8">
      <c r="A8" s="13" t="inlineStr">
        <is>
          <t>11 - Empréstimos</t>
        </is>
      </c>
      <c r="B8" s="14" t="inlineStr">
        <is>
          <t>Banco Exemplo S.A.</t>
        </is>
      </c>
      <c r="C8" s="13" t="inlineStr">
        <is>
          <t>00.000.000/0001-00</t>
        </is>
      </c>
      <c r="D8" s="14" t="inlineStr">
        <is>
          <t>Empréstimo Pessoal Consignado</t>
        </is>
      </c>
      <c r="E8" s="17" t="n">
        <v>15000</v>
      </c>
      <c r="F8" s="17" t="n">
        <v>8500</v>
      </c>
    </row>
    <row r="9">
      <c r="A9" s="9" t="inlineStr">
        <is>
          <t>12 - Outras Dívidas</t>
        </is>
      </c>
      <c r="B9" s="10" t="inlineStr">
        <is>
          <t>Pessoa Física Exemplo</t>
        </is>
      </c>
      <c r="C9" s="9" t="inlineStr">
        <is>
          <t>111.222.333-44</t>
        </is>
      </c>
      <c r="D9" s="10" t="inlineStr">
        <is>
          <t>Mútuo Financeiro Particular</t>
        </is>
      </c>
      <c r="E9" s="19" t="n">
        <v>5000</v>
      </c>
      <c r="F9" s="19" t="n">
        <v>2000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0" t="inlineStr">
        <is>
          <t>TOTAL CONSOLIDADO</t>
        </is>
      </c>
      <c r="E100" s="11">
        <f>SUM(E8:E99)</f>
        <v/>
      </c>
      <c r="F100" s="11">
        <f>SUM(F8:F99)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2026-09-04T16:02:51Z</dcterms:created>
  <dcterms:modified xmlns:dcterms="http://purl.org/dc/terms/" xmlns:xsi="http://www.w3.org/2001/XMLSchema-instance" xsi:type="dcterms:W3CDTF">2026-09-04T16:02:51Z</dcterms:modified>
</cp:coreProperties>
</file>